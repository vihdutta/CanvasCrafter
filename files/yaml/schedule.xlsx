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vihdutta\CanvasCrafter\files\yaml\"/>
    </mc:Choice>
  </mc:AlternateContent>
  <xr:revisionPtr revIDLastSave="0" documentId="13_ncr:1_{C818FFDA-DD7B-44D3-AC05-5DA55CAA2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25_Week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  <c r="E9" i="9" s="1"/>
  <c r="E12" i="9" s="1"/>
  <c r="E15" i="9" s="1"/>
  <c r="E18" i="9" s="1"/>
  <c r="E21" i="9" s="1"/>
  <c r="E24" i="9" s="1"/>
  <c r="E27" i="9" s="1"/>
  <c r="E30" i="9" s="1"/>
  <c r="E33" i="9" s="1"/>
  <c r="E36" i="9" s="1"/>
  <c r="E39" i="9" s="1"/>
  <c r="E42" i="9" s="1"/>
  <c r="E45" i="9" s="1"/>
  <c r="E48" i="9" s="1"/>
  <c r="E4" i="9"/>
  <c r="E7" i="9" s="1"/>
  <c r="E10" i="9" s="1"/>
  <c r="E13" i="9" s="1"/>
  <c r="E16" i="9" s="1"/>
  <c r="E19" i="9" s="1"/>
  <c r="E22" i="9" s="1"/>
  <c r="E25" i="9" s="1"/>
  <c r="E28" i="9" s="1"/>
  <c r="E31" i="9" s="1"/>
  <c r="E34" i="9" s="1"/>
  <c r="E37" i="9" s="1"/>
  <c r="E40" i="9" s="1"/>
  <c r="E43" i="9" s="1"/>
  <c r="E46" i="9" s="1"/>
  <c r="E5" i="9" l="1"/>
  <c r="E8" i="9" s="1"/>
  <c r="E11" i="9" s="1"/>
  <c r="E14" i="9" s="1"/>
  <c r="E17" i="9" s="1"/>
  <c r="E20" i="9" s="1"/>
  <c r="E23" i="9" s="1"/>
  <c r="E26" i="9" s="1"/>
  <c r="E29" i="9" s="1"/>
  <c r="E32" i="9" s="1"/>
  <c r="E35" i="9" s="1"/>
  <c r="E38" i="9" s="1"/>
  <c r="E41" i="9" s="1"/>
  <c r="E44" i="9" s="1"/>
  <c r="E47" i="9" s="1"/>
</calcChain>
</file>

<file path=xl/sharedStrings.xml><?xml version="1.0" encoding="utf-8"?>
<sst xmlns="http://schemas.openxmlformats.org/spreadsheetml/2006/main" count="276" uniqueCount="175">
  <si>
    <t>Date</t>
  </si>
  <si>
    <t>Topic</t>
  </si>
  <si>
    <t>Particle Kinematics</t>
  </si>
  <si>
    <t>Day</t>
  </si>
  <si>
    <t>M</t>
  </si>
  <si>
    <t>W</t>
  </si>
  <si>
    <t>F</t>
  </si>
  <si>
    <t>Rigid Body Kinematics</t>
  </si>
  <si>
    <t>Referenced Reading</t>
  </si>
  <si>
    <t>Assigned</t>
  </si>
  <si>
    <t>Due</t>
  </si>
  <si>
    <t>HW11</t>
  </si>
  <si>
    <t>HW10</t>
  </si>
  <si>
    <t>Rigid Body Kinetics: Newton/Euler Eqns.</t>
  </si>
  <si>
    <t>2/1, 2/2</t>
  </si>
  <si>
    <t>2/3, 2/4</t>
  </si>
  <si>
    <t>2/5</t>
  </si>
  <si>
    <t>3/6</t>
  </si>
  <si>
    <t>3/7</t>
  </si>
  <si>
    <t>5/5</t>
  </si>
  <si>
    <t>5/6</t>
  </si>
  <si>
    <t>5/7</t>
  </si>
  <si>
    <t>6/6</t>
  </si>
  <si>
    <t>HW12</t>
  </si>
  <si>
    <t>HW13</t>
  </si>
  <si>
    <t>Lesson</t>
  </si>
  <si>
    <t>-</t>
  </si>
  <si>
    <t>Module 1</t>
  </si>
  <si>
    <t>Module 2</t>
  </si>
  <si>
    <t>Module 4</t>
  </si>
  <si>
    <t>Module 5</t>
  </si>
  <si>
    <t>Module 6</t>
  </si>
  <si>
    <t>Mod. 3</t>
  </si>
  <si>
    <t>CHECKOUT 1</t>
  </si>
  <si>
    <t>CHECKOUT 2</t>
  </si>
  <si>
    <t>CHECKOUT 3</t>
  </si>
  <si>
    <t>CHECKOUT 4</t>
  </si>
  <si>
    <t>CHECKOUT 5</t>
  </si>
  <si>
    <t>2/6</t>
  </si>
  <si>
    <t>3/1-3/5</t>
  </si>
  <si>
    <t>Particle Kinetics: Newton's Second Law</t>
  </si>
  <si>
    <t>Particle Kinetics: Simulating Dynamics</t>
  </si>
  <si>
    <t>Append C/12</t>
  </si>
  <si>
    <t>3/8-3/9</t>
  </si>
  <si>
    <t>3/12</t>
  </si>
  <si>
    <t>Free Vibrations of Particles: Undamped</t>
  </si>
  <si>
    <t>Free Vibrations of Particles: Damped</t>
  </si>
  <si>
    <t>8/1-8/2</t>
  </si>
  <si>
    <t>Particle Kinetics: Work &amp; Energy</t>
  </si>
  <si>
    <t>Particle Kinetics: Impulse &amp; Momentum</t>
  </si>
  <si>
    <r>
      <rPr>
        <b/>
        <sz val="11"/>
        <color theme="1"/>
        <rFont val="Calibri"/>
        <family val="2"/>
        <scheme val="minor"/>
      </rPr>
      <t>QUIZ 2</t>
    </r>
    <r>
      <rPr>
        <sz val="11"/>
        <color theme="1"/>
        <rFont val="Calibri"/>
        <family val="2"/>
        <scheme val="minor"/>
      </rPr>
      <t xml:space="preserve"> &amp; Particle Kinetics: Impulse &amp; Momentum</t>
    </r>
  </si>
  <si>
    <t>Free Vibrations of Particles: Simulation &amp; Linearization</t>
  </si>
  <si>
    <t>5/1-5/2</t>
  </si>
  <si>
    <t>5/4</t>
  </si>
  <si>
    <t>6/1-6/3</t>
  </si>
  <si>
    <t>6/3-6/4</t>
  </si>
  <si>
    <t>6/3-6/5</t>
  </si>
  <si>
    <t>6/5</t>
  </si>
  <si>
    <t>Rigid Body Kinetics: Work &amp; Energy</t>
  </si>
  <si>
    <t>Free Vibrations of Rigid Bodies</t>
  </si>
  <si>
    <r>
      <rPr>
        <b/>
        <sz val="11"/>
        <color theme="1"/>
        <rFont val="Calibri"/>
        <family val="2"/>
        <scheme val="minor"/>
      </rPr>
      <t>QUIZ 5</t>
    </r>
    <r>
      <rPr>
        <sz val="11"/>
        <color theme="1"/>
        <rFont val="Calibri"/>
        <family val="2"/>
        <scheme val="minor"/>
      </rPr>
      <t xml:space="preserve"> &amp; Free Vibrations of Rigid Bodies</t>
    </r>
  </si>
  <si>
    <t>8/4</t>
  </si>
  <si>
    <t>Forced Vibrations</t>
  </si>
  <si>
    <t>8/3</t>
  </si>
  <si>
    <t>Notes to Self</t>
  </si>
  <si>
    <t>Week</t>
  </si>
  <si>
    <t>1A</t>
  </si>
  <si>
    <t>1B</t>
  </si>
  <si>
    <t>1C</t>
  </si>
  <si>
    <t>1D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</si>
  <si>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</si>
  <si>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</si>
  <si>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</si>
  <si>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</si>
  <si>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</si>
  <si>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</si>
  <si>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</si>
  <si>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</si>
  <si>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</si>
  <si>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</si>
  <si>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3A</t>
  </si>
  <si>
    <t>3B</t>
  </si>
  <si>
    <t>3C</t>
  </si>
  <si>
    <t>4A</t>
  </si>
  <si>
    <t>4B</t>
  </si>
  <si>
    <t>4C</t>
  </si>
  <si>
    <t>4D</t>
  </si>
  <si>
    <t>4E</t>
  </si>
  <si>
    <t>4F</t>
  </si>
  <si>
    <t>4G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</si>
  <si>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</si>
  <si>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</si>
  <si>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</si>
  <si>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</si>
  <si>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</si>
  <si>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</si>
  <si>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</si>
  <si>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</si>
  <si>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</si>
  <si>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</si>
  <si>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</si>
  <si>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</si>
  <si>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Labor Day - No Class</t>
  </si>
  <si>
    <t>Fall Study Break - No Class</t>
  </si>
  <si>
    <t>Thanksgiving Break - No Class</t>
  </si>
  <si>
    <t>FINAL EXAM FROM 1:30-3:30 PM (Loc. TBD)</t>
  </si>
  <si>
    <t>6E</t>
  </si>
  <si>
    <t>CSED Case Study?</t>
  </si>
  <si>
    <t>Prework Video Title</t>
  </si>
  <si>
    <t>Course Introduction, Particle Kinematics</t>
  </si>
  <si>
    <t>Previous 2B had the second half for checkout prep…move example in and shift prep to 2C</t>
  </si>
  <si>
    <t>Do example problem AND simulation discussion (2D and 2E from previous semester)</t>
  </si>
  <si>
    <r>
      <rPr>
        <b/>
        <sz val="11"/>
        <color theme="1"/>
        <rFont val="Calibri"/>
        <family val="2"/>
        <scheme val="minor"/>
      </rPr>
      <t>QUIZ 1</t>
    </r>
    <r>
      <rPr>
        <sz val="11"/>
        <color theme="1"/>
        <rFont val="Calibri"/>
        <family val="2"/>
        <scheme val="minor"/>
      </rPr>
      <t xml:space="preserve"> &amp; Particle Kinetics: Work-Energy</t>
    </r>
  </si>
  <si>
    <t>HW08</t>
  </si>
  <si>
    <t>HW07</t>
  </si>
  <si>
    <t>HW06</t>
  </si>
  <si>
    <t>HW05</t>
  </si>
  <si>
    <t>HW04</t>
  </si>
  <si>
    <t>HW03</t>
  </si>
  <si>
    <t>HW01</t>
  </si>
  <si>
    <t>HW02</t>
  </si>
  <si>
    <t>HW09</t>
  </si>
  <si>
    <r>
      <t>QUIZ 3</t>
    </r>
    <r>
      <rPr>
        <sz val="11"/>
        <color theme="1"/>
        <rFont val="Calibri"/>
        <family val="2"/>
        <scheme val="minor"/>
      </rPr>
      <t xml:space="preserve"> &amp; Rigid Body Kinematics</t>
    </r>
  </si>
  <si>
    <r>
      <t>QUIZ 4</t>
    </r>
    <r>
      <rPr>
        <sz val="11"/>
        <color theme="1"/>
        <rFont val="Calibri"/>
        <family val="2"/>
        <scheme val="minor"/>
      </rPr>
      <t xml:space="preserve"> &amp; Rigid Body Kinetics: Newton/Euler Eqns.</t>
    </r>
  </si>
  <si>
    <t>Bonus day compared to WN25 so can use as a make up or wrap up (felt like last day was rushed this past year)</t>
  </si>
  <si>
    <t>Note this is on a Monday instead of the usual Wednesday due to the thanksgiving holiday</t>
  </si>
  <si>
    <t xml:space="preserve">HW12 </t>
  </si>
  <si>
    <t>Particle Kinetics Example (19:41 minutes)</t>
  </si>
  <si>
    <t>Welcome to Our Canvas Page (6:15 minutes)</t>
  </si>
  <si>
    <t>Rectilinear Motion (10:26 minutes)</t>
  </si>
  <si>
    <t>Normal Tangential Coordinates (23:42 minutes)</t>
  </si>
  <si>
    <t>Polar/Cylindrical Coordinates (21:18 minutes)</t>
  </si>
  <si>
    <t>Intro to Particle Kinetics (14:22 minutes)</t>
  </si>
  <si>
    <t>Types of Forces (16:54 minutes)</t>
  </si>
  <si>
    <t>Getting Started with ode45 (35:47 minutes)</t>
  </si>
  <si>
    <t>Particle Work-Energy (27:36 minutes)</t>
  </si>
  <si>
    <t>Study for Quiz 1</t>
  </si>
  <si>
    <t>Prepare for Checkout 1</t>
  </si>
  <si>
    <t>Conservative Forces &amp; Potential Energy (10:05 minutes)</t>
  </si>
  <si>
    <t>Linear-Impulse, Linear-Momentum (13:13 minutes)</t>
  </si>
  <si>
    <t>Prepare for Checkout 2</t>
  </si>
  <si>
    <t>Particle Impacts (19:45 minutes)</t>
  </si>
  <si>
    <t>Study for Quiz 2</t>
  </si>
  <si>
    <t>Undamped, Free Vibrations (23:50 minutes)</t>
  </si>
  <si>
    <t>Damped, Free Vibrations (39:37 minutes)</t>
  </si>
  <si>
    <t>Equation of Motion of a Simple Pendulum (10:17 minutes)</t>
  </si>
  <si>
    <t>Intro to Rigid Body Kinematics (40:31 minutes)</t>
  </si>
  <si>
    <t>General Rigid Body Kinematics, Velocity (23:22 minutes)</t>
  </si>
  <si>
    <t>Prepare for Checkout 3</t>
  </si>
  <si>
    <t>Instantaneous Center of Zero Velocity (20:41 minutes)</t>
  </si>
  <si>
    <t>Study for Quiz 3</t>
  </si>
  <si>
    <t>General Rigid Body Kinematics, Acceleration (9:10 minutes)</t>
  </si>
  <si>
    <t>Motion Relative to Rotating Axes (24:46 minutes)</t>
  </si>
  <si>
    <t>Motion Relative to Rotating Axes Example (17:26 minutes)</t>
  </si>
  <si>
    <t>Prepare for Checkout 4</t>
  </si>
  <si>
    <t>Intro to Rigid Body Kinetics (45:37 minutes)</t>
  </si>
  <si>
    <t>Study for Quiz 4</t>
  </si>
  <si>
    <t>Rigid Body Kinetics Example, Pure Translation (13:47 minutes)</t>
  </si>
  <si>
    <t>Rigid Body Kinetics Example, Roll without Slip (22:01 minutes)</t>
  </si>
  <si>
    <t>Rigid Body Kinetics Example, Translation &amp; Rotation (19:33 minutes)</t>
  </si>
  <si>
    <t>Volvo Case Study Pre-Reading</t>
  </si>
  <si>
    <t>Introduction to Rigid Body Work-Energy (17:58 minutes)</t>
  </si>
  <si>
    <t>Rigid Body Work-Energy Example (17:52 minutes)</t>
  </si>
  <si>
    <t>Prepare for Checkout 5</t>
  </si>
  <si>
    <t>Introduction to Rigid Body Vibrations (17:05 minutes)</t>
  </si>
  <si>
    <t>Study for Quiz 5</t>
  </si>
  <si>
    <t>Harmonically Forced Vibrations (41:57 minutes)</t>
  </si>
  <si>
    <t>Base Excitations (23:20 minutes)</t>
  </si>
  <si>
    <t>Bring Questions for Last Day Wrap Up!</t>
  </si>
  <si>
    <t>Study for Final Exam</t>
  </si>
  <si>
    <t>Nothing! Done with school!</t>
  </si>
  <si>
    <t>Still nothing.</t>
  </si>
  <si>
    <t>10/3</t>
  </si>
  <si>
    <t>END1</t>
  </si>
  <si>
    <t>END2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</si>
</sst>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164" fontId="0" fillId="5" borderId="4" xfId="0" applyNumberForma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4" fontId="0" fillId="6" borderId="4" xfId="0" applyNumberForma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64" fontId="0" fillId="6" borderId="7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 wrapText="1"/>
    </xf>
    <xf numFmtId="49" fontId="0" fillId="3" borderId="7" xfId="0" applyNumberFormat="1" applyFill="1" applyBorder="1" applyAlignment="1">
      <alignment horizontal="center" vertical="center" wrapText="1"/>
    </xf>
    <xf numFmtId="164" fontId="0" fillId="7" borderId="4" xfId="0" applyNumberForma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49" fontId="0" fillId="7" borderId="4" xfId="0" applyNumberForma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164" fontId="0" fillId="7" borderId="7" xfId="0" applyNumberForma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0" fillId="7" borderId="7" xfId="0" applyFill="1" applyBorder="1" applyAlignment="1">
      <alignment horizontal="center" vertical="center" wrapText="1"/>
    </xf>
    <xf numFmtId="49" fontId="0" fillId="7" borderId="7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2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49" fontId="0" fillId="4" borderId="7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49" fontId="0" fillId="5" borderId="7" xfId="0" applyNumberFormat="1" applyFill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64" fontId="0" fillId="4" borderId="7" xfId="0" applyNumberForma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6" fontId="0" fillId="0" borderId="0" xfId="0" applyNumberFormat="1"/>
    <xf numFmtId="0" fontId="0" fillId="7" borderId="2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 textRotation="90" wrapText="1"/>
    </xf>
    <xf numFmtId="0" fontId="0" fillId="4" borderId="10" xfId="0" applyFill="1" applyBorder="1" applyAlignment="1">
      <alignment horizontal="center" vertical="center" textRotation="90" wrapText="1"/>
    </xf>
    <xf numFmtId="0" fontId="0" fillId="4" borderId="11" xfId="0" applyFill="1" applyBorder="1" applyAlignment="1">
      <alignment horizontal="center" vertical="center" textRotation="90" wrapText="1"/>
    </xf>
    <xf numFmtId="0" fontId="0" fillId="2" borderId="9" xfId="0" applyFill="1" applyBorder="1" applyAlignment="1">
      <alignment horizontal="center" vertical="center" textRotation="90" wrapText="1"/>
    </xf>
    <xf numFmtId="0" fontId="0" fillId="2" borderId="10" xfId="0" applyFill="1" applyBorder="1" applyAlignment="1">
      <alignment horizontal="center" vertical="center" textRotation="90" wrapText="1"/>
    </xf>
    <xf numFmtId="0" fontId="0" fillId="2" borderId="11" xfId="0" applyFill="1" applyBorder="1" applyAlignment="1">
      <alignment horizontal="center" vertical="center" textRotation="90" wrapText="1"/>
    </xf>
    <xf numFmtId="0" fontId="0" fillId="5" borderId="9" xfId="0" applyFill="1" applyBorder="1" applyAlignment="1">
      <alignment horizontal="center" vertical="center" textRotation="90" wrapText="1"/>
    </xf>
    <xf numFmtId="0" fontId="0" fillId="5" borderId="10" xfId="0" applyFill="1" applyBorder="1" applyAlignment="1">
      <alignment horizontal="center" vertical="center" textRotation="90" wrapText="1"/>
    </xf>
    <xf numFmtId="0" fontId="0" fillId="5" borderId="11" xfId="0" applyFill="1" applyBorder="1" applyAlignment="1">
      <alignment horizontal="center" vertical="center" textRotation="90" wrapText="1"/>
    </xf>
    <xf numFmtId="0" fontId="0" fillId="6" borderId="9" xfId="0" applyFill="1" applyBorder="1" applyAlignment="1">
      <alignment horizontal="center" vertical="center" textRotation="90" wrapText="1"/>
    </xf>
    <xf numFmtId="0" fontId="0" fillId="6" borderId="10" xfId="0" applyFill="1" applyBorder="1" applyAlignment="1">
      <alignment horizontal="center" vertical="center" textRotation="90" wrapText="1"/>
    </xf>
    <xf numFmtId="0" fontId="0" fillId="6" borderId="11" xfId="0" applyFill="1" applyBorder="1" applyAlignment="1">
      <alignment horizontal="center" vertical="center" textRotation="90" wrapText="1"/>
    </xf>
    <xf numFmtId="0" fontId="0" fillId="3" borderId="9" xfId="0" applyFill="1" applyBorder="1" applyAlignment="1">
      <alignment horizontal="center" vertical="center" textRotation="90" wrapText="1"/>
    </xf>
    <xf numFmtId="0" fontId="0" fillId="3" borderId="10" xfId="0" applyFill="1" applyBorder="1" applyAlignment="1">
      <alignment horizontal="center" vertical="center" textRotation="90" wrapText="1"/>
    </xf>
    <xf numFmtId="0" fontId="0" fillId="3" borderId="11" xfId="0" applyFill="1" applyBorder="1" applyAlignment="1">
      <alignment horizontal="center" vertical="center" textRotation="90" wrapText="1"/>
    </xf>
    <xf numFmtId="164" fontId="0" fillId="7" borderId="9" xfId="0" applyNumberFormat="1" applyFill="1" applyBorder="1" applyAlignment="1">
      <alignment horizontal="center" vertical="center" textRotation="90" wrapText="1"/>
    </xf>
    <xf numFmtId="164" fontId="0" fillId="7" borderId="10" xfId="0" applyNumberFormat="1" applyFill="1" applyBorder="1" applyAlignment="1">
      <alignment horizontal="center" vertical="center" textRotation="90" wrapText="1"/>
    </xf>
    <xf numFmtId="164" fontId="0" fillId="7" borderId="11" xfId="0" applyNumberFormat="1" applyFill="1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BF51-DE4A-4E8A-918B-AD68388F3927}">
  <sheetPr>
    <pageSetUpPr fitToPage="1"/>
  </sheetPr>
  <dimension ref="B1:N53"/>
  <sheetViews>
    <sheetView tabSelected="1" topLeftCell="A20" zoomScaleNormal="100" workbookViewId="0">
      <selection activeCell="E52" sqref="E52"/>
    </sheetView>
  </sheetViews>
  <sheetFormatPr defaultRowHeight="15" x14ac:dyDescent="0.25"/>
  <cols>
    <col min="3" max="3" width="4.85546875" customWidth="1"/>
    <col min="4" max="4" width="8.140625" bestFit="1" customWidth="1"/>
    <col min="5" max="5" width="7" bestFit="1" customWidth="1"/>
    <col min="6" max="6" width="5.42578125" bestFit="1" customWidth="1"/>
    <col min="7" max="7" width="53.85546875" customWidth="1"/>
    <col min="8" max="8" width="14.140625" style="11" bestFit="1" customWidth="1"/>
    <col min="9" max="9" width="11.140625" bestFit="1" customWidth="1"/>
    <col min="10" max="10" width="11.85546875" customWidth="1"/>
    <col min="11" max="11" width="4.5703125" style="81" customWidth="1"/>
    <col min="12" max="12" width="61.5703125" style="81" customWidth="1"/>
    <col min="13" max="13" width="78" style="1" bestFit="1" customWidth="1"/>
    <col min="14" max="14" width="23" bestFit="1" customWidth="1"/>
  </cols>
  <sheetData>
    <row r="1" spans="2:13" ht="15.75" thickBot="1" x14ac:dyDescent="0.3"/>
    <row r="2" spans="2:13" s="2" customFormat="1" ht="38.25" thickBot="1" x14ac:dyDescent="0.35">
      <c r="B2" s="85" t="s">
        <v>65</v>
      </c>
      <c r="C2" s="73"/>
      <c r="D2" s="73" t="s">
        <v>25</v>
      </c>
      <c r="E2" s="74" t="s">
        <v>0</v>
      </c>
      <c r="F2" s="74" t="s">
        <v>3</v>
      </c>
      <c r="G2" s="74" t="s">
        <v>1</v>
      </c>
      <c r="H2" s="75" t="s">
        <v>8</v>
      </c>
      <c r="I2" s="74" t="s">
        <v>9</v>
      </c>
      <c r="J2" s="76" t="s">
        <v>10</v>
      </c>
      <c r="K2" s="79"/>
      <c r="L2" s="117" t="s">
        <v>108</v>
      </c>
      <c r="M2" s="77" t="s">
        <v>64</v>
      </c>
    </row>
    <row r="3" spans="2:13" ht="14.45" customHeight="1" x14ac:dyDescent="0.25">
      <c r="B3" s="123">
        <v>1</v>
      </c>
      <c r="C3" s="126" t="s">
        <v>27</v>
      </c>
      <c r="D3" s="25" t="s">
        <v>66</v>
      </c>
      <c r="E3" s="37">
        <v>45894</v>
      </c>
      <c r="F3" s="25" t="s">
        <v>4</v>
      </c>
      <c r="G3" s="25" t="s">
        <v>109</v>
      </c>
      <c r="H3" s="26" t="s">
        <v>14</v>
      </c>
      <c r="I3" s="25"/>
      <c r="J3" s="27"/>
      <c r="K3" s="82"/>
      <c r="L3" s="67" t="s">
        <v>128</v>
      </c>
      <c r="M3" s="3"/>
    </row>
    <row r="4" spans="2:13" x14ac:dyDescent="0.25">
      <c r="B4" s="124"/>
      <c r="C4" s="127"/>
      <c r="D4" s="13" t="s">
        <v>67</v>
      </c>
      <c r="E4" s="12">
        <f>E3+2</f>
        <v>45896</v>
      </c>
      <c r="F4" s="13" t="s">
        <v>5</v>
      </c>
      <c r="G4" s="13" t="s">
        <v>2</v>
      </c>
      <c r="H4" s="14" t="s">
        <v>15</v>
      </c>
      <c r="I4" s="13"/>
      <c r="J4" s="28"/>
      <c r="K4" s="82"/>
      <c r="L4" s="67" t="s">
        <v>129</v>
      </c>
      <c r="M4" s="3"/>
    </row>
    <row r="5" spans="2:13" x14ac:dyDescent="0.25">
      <c r="B5" s="125"/>
      <c r="C5" s="127"/>
      <c r="D5" s="13" t="s">
        <v>68</v>
      </c>
      <c r="E5" s="12">
        <f>E4+2</f>
        <v>45898</v>
      </c>
      <c r="F5" s="13" t="s">
        <v>6</v>
      </c>
      <c r="G5" s="13" t="s">
        <v>2</v>
      </c>
      <c r="H5" s="14" t="s">
        <v>16</v>
      </c>
      <c r="I5" s="13" t="s">
        <v>119</v>
      </c>
      <c r="J5" s="28"/>
      <c r="K5" s="82"/>
      <c r="L5" s="67" t="s">
        <v>130</v>
      </c>
      <c r="M5" s="4"/>
    </row>
    <row r="6" spans="2:13" x14ac:dyDescent="0.25">
      <c r="B6" s="123">
        <v>2</v>
      </c>
      <c r="C6" s="127"/>
      <c r="D6" s="110" t="s">
        <v>26</v>
      </c>
      <c r="E6" s="109">
        <f>E3+7</f>
        <v>45901</v>
      </c>
      <c r="F6" s="110" t="s">
        <v>4</v>
      </c>
      <c r="G6" s="114" t="s">
        <v>102</v>
      </c>
      <c r="H6" s="115" t="s">
        <v>26</v>
      </c>
      <c r="I6" s="110"/>
      <c r="J6" s="113"/>
      <c r="K6" s="82"/>
      <c r="L6" s="67"/>
      <c r="M6" s="4"/>
    </row>
    <row r="7" spans="2:13" ht="14.45" customHeight="1" thickBot="1" x14ac:dyDescent="0.3">
      <c r="B7" s="124"/>
      <c r="C7" s="128"/>
      <c r="D7" s="86" t="s">
        <v>69</v>
      </c>
      <c r="E7" s="96">
        <f>E4+7</f>
        <v>45903</v>
      </c>
      <c r="F7" s="86" t="s">
        <v>5</v>
      </c>
      <c r="G7" s="86" t="s">
        <v>2</v>
      </c>
      <c r="H7" s="87" t="s">
        <v>38</v>
      </c>
      <c r="I7" s="86"/>
      <c r="J7" s="97"/>
      <c r="K7" s="82"/>
      <c r="L7" s="67" t="s">
        <v>131</v>
      </c>
      <c r="M7" s="4"/>
    </row>
    <row r="8" spans="2:13" x14ac:dyDescent="0.25">
      <c r="B8" s="125"/>
      <c r="C8" s="129" t="s">
        <v>28</v>
      </c>
      <c r="D8" s="29" t="s">
        <v>70</v>
      </c>
      <c r="E8" s="38">
        <f>E5+7</f>
        <v>45905</v>
      </c>
      <c r="F8" s="29" t="s">
        <v>6</v>
      </c>
      <c r="G8" s="29" t="s">
        <v>40</v>
      </c>
      <c r="H8" s="30" t="s">
        <v>39</v>
      </c>
      <c r="I8" s="29" t="s">
        <v>120</v>
      </c>
      <c r="J8" s="31" t="s">
        <v>119</v>
      </c>
      <c r="K8" s="82"/>
      <c r="L8" s="67" t="s">
        <v>132</v>
      </c>
      <c r="M8" s="4"/>
    </row>
    <row r="9" spans="2:13" ht="14.45" customHeight="1" x14ac:dyDescent="0.25">
      <c r="B9" s="123">
        <v>3</v>
      </c>
      <c r="C9" s="130"/>
      <c r="D9" s="6" t="s">
        <v>71</v>
      </c>
      <c r="E9" s="5">
        <f t="shared" ref="E9:E46" si="0">E6+7</f>
        <v>45908</v>
      </c>
      <c r="F9" s="6" t="s">
        <v>4</v>
      </c>
      <c r="G9" s="6" t="s">
        <v>40</v>
      </c>
      <c r="H9" s="9" t="s">
        <v>39</v>
      </c>
      <c r="I9" s="6"/>
      <c r="J9" s="32"/>
      <c r="K9" s="82"/>
      <c r="L9" s="67" t="s">
        <v>133</v>
      </c>
      <c r="M9" s="4" t="s">
        <v>110</v>
      </c>
    </row>
    <row r="10" spans="2:13" x14ac:dyDescent="0.25">
      <c r="B10" s="124"/>
      <c r="C10" s="130"/>
      <c r="D10" s="6" t="s">
        <v>72</v>
      </c>
      <c r="E10" s="5">
        <f t="shared" si="0"/>
        <v>45910</v>
      </c>
      <c r="F10" s="6" t="s">
        <v>5</v>
      </c>
      <c r="G10" s="6" t="s">
        <v>40</v>
      </c>
      <c r="H10" s="9" t="s">
        <v>39</v>
      </c>
      <c r="I10" s="6"/>
      <c r="J10" s="32"/>
      <c r="K10" s="82"/>
      <c r="L10" s="67" t="s">
        <v>127</v>
      </c>
      <c r="M10" s="4"/>
    </row>
    <row r="11" spans="2:13" x14ac:dyDescent="0.25">
      <c r="B11" s="125"/>
      <c r="C11" s="130"/>
      <c r="D11" s="6" t="s">
        <v>26</v>
      </c>
      <c r="E11" s="5">
        <f t="shared" si="0"/>
        <v>45912</v>
      </c>
      <c r="F11" s="6" t="s">
        <v>6</v>
      </c>
      <c r="G11" s="64" t="s">
        <v>33</v>
      </c>
      <c r="H11" s="9" t="s">
        <v>26</v>
      </c>
      <c r="I11" s="6" t="s">
        <v>118</v>
      </c>
      <c r="J11" s="32" t="s">
        <v>120</v>
      </c>
      <c r="K11" s="82"/>
      <c r="L11" s="67" t="s">
        <v>137</v>
      </c>
      <c r="M11" s="4"/>
    </row>
    <row r="12" spans="2:13" x14ac:dyDescent="0.25">
      <c r="B12" s="123">
        <v>4</v>
      </c>
      <c r="C12" s="130"/>
      <c r="D12" s="6" t="s">
        <v>73</v>
      </c>
      <c r="E12" s="5">
        <f t="shared" si="0"/>
        <v>45915</v>
      </c>
      <c r="F12" s="6" t="s">
        <v>4</v>
      </c>
      <c r="G12" s="6" t="s">
        <v>41</v>
      </c>
      <c r="H12" s="9" t="s">
        <v>42</v>
      </c>
      <c r="I12" s="6"/>
      <c r="J12" s="32"/>
      <c r="K12" s="82"/>
      <c r="L12" s="67" t="s">
        <v>134</v>
      </c>
      <c r="M12" s="4" t="s">
        <v>111</v>
      </c>
    </row>
    <row r="13" spans="2:13" x14ac:dyDescent="0.25">
      <c r="B13" s="124"/>
      <c r="C13" s="130"/>
      <c r="D13" s="6" t="s">
        <v>74</v>
      </c>
      <c r="E13" s="5">
        <f t="shared" si="0"/>
        <v>45917</v>
      </c>
      <c r="F13" s="6" t="s">
        <v>5</v>
      </c>
      <c r="G13" s="6" t="s">
        <v>112</v>
      </c>
      <c r="H13" s="9" t="s">
        <v>17</v>
      </c>
      <c r="I13" s="6"/>
      <c r="J13" s="32"/>
      <c r="K13" s="82"/>
      <c r="L13" s="67" t="s">
        <v>136</v>
      </c>
      <c r="M13" s="4"/>
    </row>
    <row r="14" spans="2:13" x14ac:dyDescent="0.25">
      <c r="B14" s="125"/>
      <c r="C14" s="130"/>
      <c r="D14" s="6" t="s">
        <v>75</v>
      </c>
      <c r="E14" s="5">
        <f t="shared" si="0"/>
        <v>45919</v>
      </c>
      <c r="F14" s="6" t="s">
        <v>6</v>
      </c>
      <c r="G14" s="6" t="s">
        <v>48</v>
      </c>
      <c r="H14" s="9" t="s">
        <v>17</v>
      </c>
      <c r="I14" s="6" t="s">
        <v>117</v>
      </c>
      <c r="J14" s="32" t="s">
        <v>118</v>
      </c>
      <c r="K14" s="82"/>
      <c r="L14" s="67" t="s">
        <v>135</v>
      </c>
      <c r="M14" s="4"/>
    </row>
    <row r="15" spans="2:13" x14ac:dyDescent="0.25">
      <c r="B15" s="123">
        <v>5</v>
      </c>
      <c r="C15" s="130"/>
      <c r="D15" s="6" t="s">
        <v>76</v>
      </c>
      <c r="E15" s="5">
        <f t="shared" si="0"/>
        <v>45922</v>
      </c>
      <c r="F15" s="6" t="s">
        <v>4</v>
      </c>
      <c r="G15" s="6" t="s">
        <v>48</v>
      </c>
      <c r="H15" s="9" t="s">
        <v>18</v>
      </c>
      <c r="I15" s="6"/>
      <c r="J15" s="32"/>
      <c r="K15" s="82"/>
      <c r="L15" s="67" t="s">
        <v>138</v>
      </c>
      <c r="M15" s="4"/>
    </row>
    <row r="16" spans="2:13" x14ac:dyDescent="0.25">
      <c r="B16" s="124"/>
      <c r="C16" s="130"/>
      <c r="D16" s="6" t="s">
        <v>77</v>
      </c>
      <c r="E16" s="5">
        <f t="shared" si="0"/>
        <v>45924</v>
      </c>
      <c r="F16" s="6" t="s">
        <v>5</v>
      </c>
      <c r="G16" s="6" t="s">
        <v>49</v>
      </c>
      <c r="H16" s="9" t="s">
        <v>43</v>
      </c>
      <c r="I16" s="6"/>
      <c r="J16" s="32"/>
      <c r="K16" s="82"/>
      <c r="L16" s="67" t="s">
        <v>139</v>
      </c>
      <c r="M16" s="4"/>
    </row>
    <row r="17" spans="2:14" x14ac:dyDescent="0.25">
      <c r="B17" s="125"/>
      <c r="C17" s="130"/>
      <c r="D17" s="6" t="s">
        <v>26</v>
      </c>
      <c r="E17" s="5">
        <f t="shared" si="0"/>
        <v>45926</v>
      </c>
      <c r="F17" s="6" t="s">
        <v>6</v>
      </c>
      <c r="G17" s="64" t="s">
        <v>34</v>
      </c>
      <c r="H17" s="9" t="s">
        <v>26</v>
      </c>
      <c r="I17" s="6" t="s">
        <v>116</v>
      </c>
      <c r="J17" s="32" t="s">
        <v>117</v>
      </c>
      <c r="K17" s="82"/>
      <c r="L17" s="67" t="s">
        <v>140</v>
      </c>
      <c r="M17" s="4"/>
    </row>
    <row r="18" spans="2:14" x14ac:dyDescent="0.25">
      <c r="B18" s="123">
        <v>6</v>
      </c>
      <c r="C18" s="130"/>
      <c r="D18" s="6" t="s">
        <v>78</v>
      </c>
      <c r="E18" s="5">
        <f t="shared" si="0"/>
        <v>45929</v>
      </c>
      <c r="F18" s="6" t="s">
        <v>4</v>
      </c>
      <c r="G18" s="6" t="s">
        <v>49</v>
      </c>
      <c r="H18" s="9" t="s">
        <v>44</v>
      </c>
      <c r="I18" s="6"/>
      <c r="J18" s="32"/>
      <c r="K18" s="82"/>
      <c r="L18" s="67" t="s">
        <v>141</v>
      </c>
      <c r="M18" s="4"/>
    </row>
    <row r="19" spans="2:14" ht="15" customHeight="1" thickBot="1" x14ac:dyDescent="0.3">
      <c r="B19" s="124"/>
      <c r="C19" s="131"/>
      <c r="D19" s="98" t="s">
        <v>79</v>
      </c>
      <c r="E19" s="99">
        <f t="shared" si="0"/>
        <v>45931</v>
      </c>
      <c r="F19" s="98" t="s">
        <v>5</v>
      </c>
      <c r="G19" s="98" t="s">
        <v>50</v>
      </c>
      <c r="H19" s="100" t="s">
        <v>44</v>
      </c>
      <c r="I19" s="98"/>
      <c r="J19" s="101"/>
      <c r="K19" s="82"/>
      <c r="L19" s="67" t="s">
        <v>142</v>
      </c>
      <c r="M19" s="4"/>
    </row>
    <row r="20" spans="2:14" ht="14.45" customHeight="1" x14ac:dyDescent="0.25">
      <c r="B20" s="125"/>
      <c r="C20" s="132" t="s">
        <v>32</v>
      </c>
      <c r="D20" s="33" t="s">
        <v>80</v>
      </c>
      <c r="E20" s="39">
        <f t="shared" si="0"/>
        <v>45933</v>
      </c>
      <c r="F20" s="33" t="s">
        <v>6</v>
      </c>
      <c r="G20" s="33" t="s">
        <v>45</v>
      </c>
      <c r="H20" s="34" t="s">
        <v>47</v>
      </c>
      <c r="I20" s="33" t="s">
        <v>115</v>
      </c>
      <c r="J20" s="35" t="s">
        <v>116</v>
      </c>
      <c r="K20" s="82"/>
      <c r="L20" s="67" t="s">
        <v>143</v>
      </c>
      <c r="M20" s="4"/>
    </row>
    <row r="21" spans="2:14" ht="14.45" customHeight="1" x14ac:dyDescent="0.25">
      <c r="B21" s="123">
        <v>7</v>
      </c>
      <c r="C21" s="133"/>
      <c r="D21" s="16" t="s">
        <v>81</v>
      </c>
      <c r="E21" s="15">
        <f t="shared" si="0"/>
        <v>45936</v>
      </c>
      <c r="F21" s="16" t="s">
        <v>4</v>
      </c>
      <c r="G21" s="16" t="s">
        <v>46</v>
      </c>
      <c r="H21" s="17" t="s">
        <v>47</v>
      </c>
      <c r="I21" s="16"/>
      <c r="J21" s="36"/>
      <c r="K21" s="82"/>
      <c r="L21" s="67" t="s">
        <v>144</v>
      </c>
      <c r="M21" s="4"/>
    </row>
    <row r="22" spans="2:14" ht="15" customHeight="1" thickBot="1" x14ac:dyDescent="0.3">
      <c r="B22" s="124"/>
      <c r="C22" s="134"/>
      <c r="D22" s="88" t="s">
        <v>82</v>
      </c>
      <c r="E22" s="102">
        <f t="shared" si="0"/>
        <v>45938</v>
      </c>
      <c r="F22" s="88" t="s">
        <v>5</v>
      </c>
      <c r="G22" s="88" t="s">
        <v>51</v>
      </c>
      <c r="H22" s="89"/>
      <c r="I22" s="88"/>
      <c r="J22" s="103"/>
      <c r="K22" s="82"/>
      <c r="L22" s="67" t="s">
        <v>145</v>
      </c>
      <c r="M22" s="4"/>
    </row>
    <row r="23" spans="2:14" ht="14.45" customHeight="1" x14ac:dyDescent="0.25">
      <c r="B23" s="125"/>
      <c r="C23" s="135" t="s">
        <v>29</v>
      </c>
      <c r="D23" s="40" t="s">
        <v>83</v>
      </c>
      <c r="E23" s="41">
        <f t="shared" si="0"/>
        <v>45940</v>
      </c>
      <c r="F23" s="40" t="s">
        <v>6</v>
      </c>
      <c r="G23" s="40" t="s">
        <v>7</v>
      </c>
      <c r="H23" s="66" t="s">
        <v>52</v>
      </c>
      <c r="I23" s="40" t="s">
        <v>114</v>
      </c>
      <c r="J23" s="42" t="s">
        <v>115</v>
      </c>
      <c r="K23" s="82"/>
      <c r="L23" s="67" t="s">
        <v>146</v>
      </c>
      <c r="M23" s="4"/>
    </row>
    <row r="24" spans="2:14" x14ac:dyDescent="0.25">
      <c r="B24" s="123">
        <v>8</v>
      </c>
      <c r="C24" s="136"/>
      <c r="D24" s="108" t="s">
        <v>26</v>
      </c>
      <c r="E24" s="109">
        <f t="shared" si="0"/>
        <v>45943</v>
      </c>
      <c r="F24" s="110" t="s">
        <v>4</v>
      </c>
      <c r="G24" s="111" t="s">
        <v>103</v>
      </c>
      <c r="H24" s="112"/>
      <c r="I24" s="110"/>
      <c r="J24" s="113"/>
      <c r="K24" s="82"/>
      <c r="L24" s="67"/>
      <c r="M24" s="4"/>
    </row>
    <row r="25" spans="2:14" x14ac:dyDescent="0.25">
      <c r="B25" s="124"/>
      <c r="C25" s="136"/>
      <c r="D25" s="19" t="s">
        <v>84</v>
      </c>
      <c r="E25" s="18">
        <f t="shared" si="0"/>
        <v>45945</v>
      </c>
      <c r="F25" s="19" t="s">
        <v>5</v>
      </c>
      <c r="G25" s="69" t="s">
        <v>7</v>
      </c>
      <c r="H25" s="21" t="s">
        <v>53</v>
      </c>
      <c r="I25" s="19"/>
      <c r="J25" s="43"/>
      <c r="K25" s="82"/>
      <c r="L25" s="67" t="s">
        <v>147</v>
      </c>
      <c r="M25" s="4"/>
    </row>
    <row r="26" spans="2:14" x14ac:dyDescent="0.25">
      <c r="B26" s="125"/>
      <c r="C26" s="136"/>
      <c r="D26" s="19" t="s">
        <v>26</v>
      </c>
      <c r="E26" s="18">
        <f t="shared" si="0"/>
        <v>45947</v>
      </c>
      <c r="F26" s="19" t="s">
        <v>6</v>
      </c>
      <c r="G26" s="65" t="s">
        <v>35</v>
      </c>
      <c r="H26" s="20"/>
      <c r="I26" s="19" t="s">
        <v>113</v>
      </c>
      <c r="J26" s="43" t="s">
        <v>114</v>
      </c>
      <c r="K26" s="82"/>
      <c r="L26" s="67" t="s">
        <v>148</v>
      </c>
      <c r="M26" s="4"/>
    </row>
    <row r="27" spans="2:14" x14ac:dyDescent="0.25">
      <c r="B27" s="123">
        <v>9</v>
      </c>
      <c r="C27" s="136"/>
      <c r="D27" s="19" t="s">
        <v>85</v>
      </c>
      <c r="E27" s="18">
        <f t="shared" si="0"/>
        <v>45950</v>
      </c>
      <c r="F27" s="19" t="s">
        <v>4</v>
      </c>
      <c r="G27" s="19" t="s">
        <v>7</v>
      </c>
      <c r="H27" s="21" t="s">
        <v>19</v>
      </c>
      <c r="I27" s="19"/>
      <c r="J27" s="43"/>
      <c r="K27" s="82"/>
      <c r="L27" s="67" t="s">
        <v>149</v>
      </c>
      <c r="M27" s="4"/>
      <c r="N27" s="1"/>
    </row>
    <row r="28" spans="2:14" x14ac:dyDescent="0.25">
      <c r="B28" s="124"/>
      <c r="C28" s="136"/>
      <c r="D28" s="19" t="s">
        <v>86</v>
      </c>
      <c r="E28" s="18">
        <f t="shared" si="0"/>
        <v>45952</v>
      </c>
      <c r="F28" s="19" t="s">
        <v>5</v>
      </c>
      <c r="G28" s="65" t="s">
        <v>122</v>
      </c>
      <c r="H28" s="21" t="s">
        <v>19</v>
      </c>
      <c r="I28" s="19"/>
      <c r="J28" s="43"/>
      <c r="K28" s="82"/>
      <c r="L28" s="67" t="s">
        <v>150</v>
      </c>
      <c r="M28" s="4"/>
      <c r="N28" s="1"/>
    </row>
    <row r="29" spans="2:14" x14ac:dyDescent="0.25">
      <c r="B29" s="125"/>
      <c r="C29" s="136"/>
      <c r="D29" s="19" t="s">
        <v>87</v>
      </c>
      <c r="E29" s="18">
        <f t="shared" si="0"/>
        <v>45954</v>
      </c>
      <c r="F29" s="19" t="s">
        <v>6</v>
      </c>
      <c r="G29" s="19" t="s">
        <v>7</v>
      </c>
      <c r="H29" s="21" t="s">
        <v>20</v>
      </c>
      <c r="I29" s="19" t="s">
        <v>121</v>
      </c>
      <c r="J29" s="43" t="s">
        <v>113</v>
      </c>
      <c r="K29" s="82"/>
      <c r="L29" s="67" t="s">
        <v>151</v>
      </c>
      <c r="M29" s="4"/>
      <c r="N29" s="1"/>
    </row>
    <row r="30" spans="2:14" x14ac:dyDescent="0.25">
      <c r="B30" s="123">
        <v>10</v>
      </c>
      <c r="C30" s="136"/>
      <c r="D30" s="19" t="s">
        <v>88</v>
      </c>
      <c r="E30" s="18">
        <f t="shared" si="0"/>
        <v>45957</v>
      </c>
      <c r="F30" s="19" t="s">
        <v>4</v>
      </c>
      <c r="G30" s="19" t="s">
        <v>7</v>
      </c>
      <c r="H30" s="20" t="s">
        <v>21</v>
      </c>
      <c r="I30" s="19"/>
      <c r="J30" s="43"/>
      <c r="K30" s="82"/>
      <c r="L30" s="67" t="s">
        <v>152</v>
      </c>
      <c r="M30" s="4"/>
      <c r="N30" s="1"/>
    </row>
    <row r="31" spans="2:14" ht="14.45" customHeight="1" x14ac:dyDescent="0.25">
      <c r="B31" s="124"/>
      <c r="C31" s="136"/>
      <c r="D31" s="19" t="s">
        <v>89</v>
      </c>
      <c r="E31" s="18">
        <f t="shared" si="0"/>
        <v>45959</v>
      </c>
      <c r="F31" s="19" t="s">
        <v>5</v>
      </c>
      <c r="G31" s="19" t="s">
        <v>7</v>
      </c>
      <c r="H31" s="20" t="s">
        <v>21</v>
      </c>
      <c r="I31" s="19"/>
      <c r="J31" s="43"/>
      <c r="K31" s="82"/>
      <c r="L31" s="67" t="s">
        <v>153</v>
      </c>
      <c r="M31" s="4"/>
      <c r="N31" s="1"/>
    </row>
    <row r="32" spans="2:14" ht="14.45" customHeight="1" thickBot="1" x14ac:dyDescent="0.3">
      <c r="B32" s="125"/>
      <c r="C32" s="137"/>
      <c r="D32" s="45" t="s">
        <v>26</v>
      </c>
      <c r="E32" s="44">
        <f t="shared" si="0"/>
        <v>45961</v>
      </c>
      <c r="F32" s="45" t="s">
        <v>6</v>
      </c>
      <c r="G32" s="104" t="s">
        <v>36</v>
      </c>
      <c r="H32" s="70"/>
      <c r="I32" s="45" t="s">
        <v>12</v>
      </c>
      <c r="J32" s="46" t="s">
        <v>121</v>
      </c>
      <c r="K32" s="82"/>
      <c r="L32" s="67" t="s">
        <v>154</v>
      </c>
      <c r="M32" s="4"/>
      <c r="N32" s="1"/>
    </row>
    <row r="33" spans="2:14" x14ac:dyDescent="0.25">
      <c r="B33" s="123">
        <v>11</v>
      </c>
      <c r="C33" s="138" t="s">
        <v>30</v>
      </c>
      <c r="D33" s="47" t="s">
        <v>90</v>
      </c>
      <c r="E33" s="48">
        <f t="shared" si="0"/>
        <v>45964</v>
      </c>
      <c r="F33" s="47" t="s">
        <v>4</v>
      </c>
      <c r="G33" s="47" t="s">
        <v>13</v>
      </c>
      <c r="H33" s="49" t="s">
        <v>54</v>
      </c>
      <c r="I33" s="47"/>
      <c r="J33" s="50"/>
      <c r="K33" s="82"/>
      <c r="L33" s="67" t="s">
        <v>155</v>
      </c>
      <c r="M33" s="4"/>
      <c r="N33" s="1"/>
    </row>
    <row r="34" spans="2:14" ht="14.45" customHeight="1" x14ac:dyDescent="0.25">
      <c r="B34" s="124"/>
      <c r="C34" s="139"/>
      <c r="D34" s="8" t="s">
        <v>91</v>
      </c>
      <c r="E34" s="7">
        <f t="shared" si="0"/>
        <v>45966</v>
      </c>
      <c r="F34" s="8" t="s">
        <v>5</v>
      </c>
      <c r="G34" s="105" t="s">
        <v>123</v>
      </c>
      <c r="H34" s="10" t="s">
        <v>55</v>
      </c>
      <c r="I34" s="8"/>
      <c r="J34" s="51"/>
      <c r="K34" s="82"/>
      <c r="L34" s="67" t="s">
        <v>156</v>
      </c>
      <c r="M34" s="4"/>
      <c r="N34" s="1"/>
    </row>
    <row r="35" spans="2:14" ht="14.45" customHeight="1" x14ac:dyDescent="0.25">
      <c r="B35" s="125"/>
      <c r="C35" s="139"/>
      <c r="D35" s="8" t="s">
        <v>92</v>
      </c>
      <c r="E35" s="7">
        <f t="shared" si="0"/>
        <v>45968</v>
      </c>
      <c r="F35" s="8" t="s">
        <v>6</v>
      </c>
      <c r="G35" s="8" t="s">
        <v>13</v>
      </c>
      <c r="H35" s="10" t="s">
        <v>56</v>
      </c>
      <c r="I35" s="8" t="s">
        <v>11</v>
      </c>
      <c r="J35" s="51" t="s">
        <v>12</v>
      </c>
      <c r="K35" s="82"/>
      <c r="L35" s="67" t="s">
        <v>157</v>
      </c>
      <c r="M35" s="4"/>
      <c r="N35" s="1"/>
    </row>
    <row r="36" spans="2:14" ht="14.45" customHeight="1" x14ac:dyDescent="0.25">
      <c r="B36" s="123">
        <v>12</v>
      </c>
      <c r="C36" s="139"/>
      <c r="D36" s="8" t="s">
        <v>93</v>
      </c>
      <c r="E36" s="7">
        <f t="shared" si="0"/>
        <v>45971</v>
      </c>
      <c r="F36" s="8" t="s">
        <v>4</v>
      </c>
      <c r="G36" s="8" t="s">
        <v>13</v>
      </c>
      <c r="H36" s="10" t="s">
        <v>57</v>
      </c>
      <c r="I36" s="8"/>
      <c r="J36" s="51"/>
      <c r="K36" s="82"/>
      <c r="L36" s="67" t="s">
        <v>158</v>
      </c>
      <c r="M36" s="4"/>
      <c r="N36" s="1"/>
    </row>
    <row r="37" spans="2:14" ht="14.45" customHeight="1" x14ac:dyDescent="0.25">
      <c r="B37" s="124"/>
      <c r="C37" s="139"/>
      <c r="D37" s="8" t="s">
        <v>94</v>
      </c>
      <c r="E37" s="7">
        <f t="shared" si="0"/>
        <v>45973</v>
      </c>
      <c r="F37" s="8" t="s">
        <v>5</v>
      </c>
      <c r="G37" s="8" t="s">
        <v>13</v>
      </c>
      <c r="H37" s="10" t="s">
        <v>57</v>
      </c>
      <c r="I37" s="8"/>
      <c r="J37" s="51"/>
      <c r="K37" s="82"/>
      <c r="L37" s="67" t="s">
        <v>159</v>
      </c>
      <c r="M37" s="78"/>
      <c r="N37" s="1"/>
    </row>
    <row r="38" spans="2:14" ht="15" customHeight="1" x14ac:dyDescent="0.25">
      <c r="B38" s="125"/>
      <c r="C38" s="139"/>
      <c r="D38" s="8" t="s">
        <v>95</v>
      </c>
      <c r="E38" s="7">
        <f t="shared" si="0"/>
        <v>45975</v>
      </c>
      <c r="F38" s="8" t="s">
        <v>6</v>
      </c>
      <c r="G38" s="8" t="s">
        <v>58</v>
      </c>
      <c r="H38" s="10" t="s">
        <v>22</v>
      </c>
      <c r="I38" s="8" t="s">
        <v>23</v>
      </c>
      <c r="J38" s="51" t="s">
        <v>11</v>
      </c>
      <c r="K38" s="82"/>
      <c r="L38" s="67" t="s">
        <v>160</v>
      </c>
      <c r="M38" s="78" t="s">
        <v>107</v>
      </c>
      <c r="N38" s="1"/>
    </row>
    <row r="39" spans="2:14" x14ac:dyDescent="0.25">
      <c r="B39" s="123">
        <v>13</v>
      </c>
      <c r="C39" s="139"/>
      <c r="D39" s="8" t="s">
        <v>96</v>
      </c>
      <c r="E39" s="7">
        <f t="shared" si="0"/>
        <v>45978</v>
      </c>
      <c r="F39" s="8" t="s">
        <v>4</v>
      </c>
      <c r="G39" s="8" t="s">
        <v>58</v>
      </c>
      <c r="H39" s="10" t="s">
        <v>22</v>
      </c>
      <c r="I39" s="8"/>
      <c r="J39" s="51"/>
      <c r="K39" s="82"/>
      <c r="L39" s="67" t="s">
        <v>161</v>
      </c>
      <c r="M39" s="4"/>
      <c r="N39" s="1"/>
    </row>
    <row r="40" spans="2:14" ht="15" customHeight="1" x14ac:dyDescent="0.25">
      <c r="B40" s="124"/>
      <c r="C40" s="139"/>
      <c r="D40" s="8" t="s">
        <v>97</v>
      </c>
      <c r="E40" s="7">
        <f t="shared" si="0"/>
        <v>45980</v>
      </c>
      <c r="F40" s="8" t="s">
        <v>5</v>
      </c>
      <c r="G40" s="8" t="s">
        <v>58</v>
      </c>
      <c r="H40" s="10" t="s">
        <v>22</v>
      </c>
      <c r="I40" s="10"/>
      <c r="J40" s="71"/>
      <c r="K40" s="83"/>
      <c r="L40" s="68" t="s">
        <v>162</v>
      </c>
      <c r="M40" s="4"/>
      <c r="N40" s="1"/>
    </row>
    <row r="41" spans="2:14" ht="15.75" thickBot="1" x14ac:dyDescent="0.3">
      <c r="B41" s="125"/>
      <c r="C41" s="140"/>
      <c r="D41" s="52" t="s">
        <v>26</v>
      </c>
      <c r="E41" s="53">
        <f t="shared" si="0"/>
        <v>45982</v>
      </c>
      <c r="F41" s="52" t="s">
        <v>6</v>
      </c>
      <c r="G41" s="84" t="s">
        <v>37</v>
      </c>
      <c r="H41" s="54" t="s">
        <v>26</v>
      </c>
      <c r="I41" s="54" t="s">
        <v>24</v>
      </c>
      <c r="J41" s="106" t="s">
        <v>126</v>
      </c>
      <c r="K41" s="83"/>
      <c r="L41" s="68" t="s">
        <v>163</v>
      </c>
      <c r="M41" s="4"/>
      <c r="N41" s="1"/>
    </row>
    <row r="42" spans="2:14" x14ac:dyDescent="0.25">
      <c r="B42" s="123">
        <v>14</v>
      </c>
      <c r="C42" s="141" t="s">
        <v>31</v>
      </c>
      <c r="D42" s="56" t="s">
        <v>98</v>
      </c>
      <c r="E42" s="55">
        <f t="shared" si="0"/>
        <v>45985</v>
      </c>
      <c r="F42" s="56" t="s">
        <v>4</v>
      </c>
      <c r="G42" s="56" t="s">
        <v>60</v>
      </c>
      <c r="H42" s="57" t="s">
        <v>61</v>
      </c>
      <c r="I42" s="56"/>
      <c r="J42" s="58"/>
      <c r="K42" s="82"/>
      <c r="L42" s="116" t="s">
        <v>165</v>
      </c>
      <c r="M42" s="4" t="s">
        <v>125</v>
      </c>
      <c r="N42" s="1"/>
    </row>
    <row r="43" spans="2:14" ht="14.45" customHeight="1" x14ac:dyDescent="0.25">
      <c r="B43" s="124"/>
      <c r="C43" s="142"/>
      <c r="D43" s="110" t="s">
        <v>26</v>
      </c>
      <c r="E43" s="109">
        <f t="shared" si="0"/>
        <v>45987</v>
      </c>
      <c r="F43" s="109" t="s">
        <v>5</v>
      </c>
      <c r="G43" s="121" t="s">
        <v>104</v>
      </c>
      <c r="H43" s="115" t="s">
        <v>26</v>
      </c>
      <c r="I43" s="110"/>
      <c r="J43" s="113"/>
      <c r="K43" s="82"/>
      <c r="L43" s="67"/>
      <c r="M43" s="4"/>
      <c r="N43" s="1"/>
    </row>
    <row r="44" spans="2:14" ht="14.45" customHeight="1" x14ac:dyDescent="0.25">
      <c r="B44" s="125"/>
      <c r="C44" s="142"/>
      <c r="D44" s="110" t="s">
        <v>26</v>
      </c>
      <c r="E44" s="109">
        <f t="shared" si="0"/>
        <v>45989</v>
      </c>
      <c r="F44" s="109" t="s">
        <v>6</v>
      </c>
      <c r="G44" s="122"/>
      <c r="H44" s="115" t="s">
        <v>26</v>
      </c>
      <c r="I44" s="110"/>
      <c r="J44" s="113"/>
      <c r="K44" s="82"/>
      <c r="L44" s="67"/>
      <c r="M44" s="4"/>
      <c r="N44" s="1"/>
    </row>
    <row r="45" spans="2:14" ht="14.45" customHeight="1" x14ac:dyDescent="0.25">
      <c r="B45" s="123">
        <v>15</v>
      </c>
      <c r="C45" s="142"/>
      <c r="D45" s="23" t="s">
        <v>99</v>
      </c>
      <c r="E45" s="22">
        <f t="shared" si="0"/>
        <v>45992</v>
      </c>
      <c r="F45" s="22" t="s">
        <v>4</v>
      </c>
      <c r="G45" s="23" t="s">
        <v>59</v>
      </c>
      <c r="H45" s="24" t="s">
        <v>61</v>
      </c>
      <c r="I45" s="23"/>
      <c r="J45" s="59"/>
      <c r="K45" s="82"/>
      <c r="L45" s="67" t="s">
        <v>164</v>
      </c>
      <c r="M45" s="4"/>
      <c r="N45" s="1"/>
    </row>
    <row r="46" spans="2:14" ht="14.45" customHeight="1" x14ac:dyDescent="0.25">
      <c r="B46" s="124"/>
      <c r="C46" s="142"/>
      <c r="D46" s="23" t="s">
        <v>100</v>
      </c>
      <c r="E46" s="22">
        <f t="shared" si="0"/>
        <v>45994</v>
      </c>
      <c r="F46" s="22" t="s">
        <v>5</v>
      </c>
      <c r="G46" s="23" t="s">
        <v>62</v>
      </c>
      <c r="H46" s="24" t="s">
        <v>63</v>
      </c>
      <c r="I46" s="23"/>
      <c r="J46" s="59"/>
      <c r="K46" s="82"/>
      <c r="L46" s="67" t="s">
        <v>166</v>
      </c>
      <c r="M46" s="4"/>
      <c r="N46" s="1"/>
    </row>
    <row r="47" spans="2:14" x14ac:dyDescent="0.25">
      <c r="B47" s="125"/>
      <c r="C47" s="142"/>
      <c r="D47" s="23" t="s">
        <v>101</v>
      </c>
      <c r="E47" s="22">
        <f>E44+7</f>
        <v>45996</v>
      </c>
      <c r="F47" s="107" t="s">
        <v>6</v>
      </c>
      <c r="G47" s="23" t="s">
        <v>62</v>
      </c>
      <c r="H47" s="24" t="s">
        <v>63</v>
      </c>
      <c r="I47" s="23"/>
      <c r="J47" s="59" t="s">
        <v>24</v>
      </c>
      <c r="K47" s="82"/>
      <c r="L47" s="67" t="s">
        <v>167</v>
      </c>
      <c r="M47" s="4"/>
      <c r="N47" s="1"/>
    </row>
    <row r="48" spans="2:14" ht="15.75" thickBot="1" x14ac:dyDescent="0.3">
      <c r="B48" s="123">
        <v>16</v>
      </c>
      <c r="C48" s="143"/>
      <c r="D48" s="62" t="s">
        <v>106</v>
      </c>
      <c r="E48" s="60">
        <f>E45+7</f>
        <v>45999</v>
      </c>
      <c r="F48" s="61" t="s">
        <v>4</v>
      </c>
      <c r="G48" s="62" t="s">
        <v>62</v>
      </c>
      <c r="H48" s="63" t="s">
        <v>63</v>
      </c>
      <c r="I48" s="62"/>
      <c r="J48" s="72"/>
      <c r="K48" s="82"/>
      <c r="L48" s="67" t="s">
        <v>168</v>
      </c>
      <c r="M48" s="4" t="s">
        <v>124</v>
      </c>
      <c r="N48" s="1"/>
    </row>
    <row r="49" spans="2:13" ht="15" customHeight="1" thickBot="1" x14ac:dyDescent="0.3">
      <c r="B49" s="144"/>
      <c r="C49" s="90"/>
      <c r="D49" s="90"/>
      <c r="E49" s="90">
        <v>46003</v>
      </c>
      <c r="F49" s="91" t="s">
        <v>6</v>
      </c>
      <c r="G49" s="92" t="s">
        <v>105</v>
      </c>
      <c r="H49" s="93"/>
      <c r="I49" s="94"/>
      <c r="J49" s="95"/>
      <c r="K49" s="80"/>
      <c r="L49" s="118" t="s">
        <v>169</v>
      </c>
      <c r="M49" s="4"/>
    </row>
    <row r="50" spans="2:13" x14ac:dyDescent="0.25">
      <c r="E50" s="119">
        <v>46368</v>
      </c>
      <c r="G50" s="120" t="s">
        <v>173</v>
      </c>
      <c r="L50" s="81" t="s">
        <v>170</v>
      </c>
    </row>
    <row r="51" spans="2:13" x14ac:dyDescent="0.25">
      <c r="E51" s="119">
        <v>46369</v>
      </c>
      <c r="G51" s="120" t="s">
        <v>174</v>
      </c>
      <c r="H51" s="11" t="s">
        <v>172</v>
      </c>
      <c r="L51" s="81" t="s">
        <v>171</v>
      </c>
    </row>
    <row r="52" spans="2:13" x14ac:dyDescent="0.25">
      <c r="D52" s="11"/>
      <c r="G52" s="81"/>
      <c r="H52" s="81"/>
      <c r="I52" s="1"/>
      <c r="K52"/>
      <c r="L52"/>
      <c r="M52"/>
    </row>
    <row r="53" spans="2:13" x14ac:dyDescent="0.25">
      <c r="D53" s="11"/>
      <c r="G53" s="81"/>
      <c r="H53" s="81"/>
      <c r="I53" s="1"/>
      <c r="K53"/>
      <c r="L53"/>
      <c r="M53"/>
    </row>
  </sheetData>
  <mergeCells count="23">
    <mergeCell ref="B48:B49"/>
    <mergeCell ref="B18:B20"/>
    <mergeCell ref="B3:B5"/>
    <mergeCell ref="B6:B8"/>
    <mergeCell ref="B9:B11"/>
    <mergeCell ref="B12:B14"/>
    <mergeCell ref="B15:B17"/>
    <mergeCell ref="G43:G44"/>
    <mergeCell ref="B39:B41"/>
    <mergeCell ref="B42:B44"/>
    <mergeCell ref="B45:B47"/>
    <mergeCell ref="C3:C7"/>
    <mergeCell ref="C8:C19"/>
    <mergeCell ref="C20:C22"/>
    <mergeCell ref="C23:C32"/>
    <mergeCell ref="C33:C41"/>
    <mergeCell ref="C42:C48"/>
    <mergeCell ref="B21:B23"/>
    <mergeCell ref="B24:B26"/>
    <mergeCell ref="B27:B29"/>
    <mergeCell ref="B30:B32"/>
    <mergeCell ref="B33:B35"/>
    <mergeCell ref="B36:B38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FA25_Weeks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Dutta, Vihaan</cp:lastModifiedBy>
  <cp:lastPrinted>2024-11-20T22:27:25Z</cp:lastPrinted>
  <dcterms:created xsi:type="dcterms:W3CDTF">2019-01-07T20:37:32Z</dcterms:created>
  <dcterms:modified xsi:type="dcterms:W3CDTF">2026-01-15T15:15:01Z</dcterms:modified>
</cp:coreProperties>
</file>